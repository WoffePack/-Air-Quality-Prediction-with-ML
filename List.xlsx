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<sst xmlns="http://schemas.openxmlformats.org/spreadsheetml/2006/main" count="104" uniqueCount="101">
  <si>
    <t>Altcoin</t>
  </si>
  <si>
    <t>Current Price</t>
  </si>
  <si>
    <t>Supply in Q4 2025</t>
  </si>
  <si>
    <t>Market Dominance NOW</t>
  </si>
  <si>
    <t>Market Dominance LAST BEAR</t>
  </si>
  <si>
    <t>Market Dominance 2021 BULL RUN</t>
  </si>
  <si>
    <t>Dominace Growth From BEAR to BULL</t>
  </si>
  <si>
    <t>Dominace Growth NOW to 2021 BULL</t>
  </si>
  <si>
    <t>MIN Market Cap (Current Maintain DOM. | $3T Global M.C)</t>
  </si>
  <si>
    <t>EXPECTED Dominance Growth (2023 =&gt; 2025)</t>
  </si>
  <si>
    <t>AVG. Market Cap (AVG. Dominance Growth | $7T Global M.C)</t>
  </si>
  <si>
    <t>MAX Market Cap (10X Current DOM. | $10T Global M.C)</t>
  </si>
  <si>
    <t>Price Prediction</t>
  </si>
  <si>
    <t>Multiples (X)</t>
  </si>
  <si>
    <t>Example</t>
  </si>
  <si>
    <t>$3.5 Billion</t>
  </si>
  <si>
    <t>2X (3.3%)</t>
  </si>
  <si>
    <t>$29.2 Billion</t>
  </si>
  <si>
    <t>$53.1 Billion</t>
  </si>
  <si>
    <t>Algorand</t>
  </si>
  <si>
    <t>5X (0.29%)</t>
  </si>
  <si>
    <t>Arbitrum</t>
  </si>
  <si>
    <t>5X (0.45%)</t>
  </si>
  <si>
    <t>Avalanche</t>
  </si>
  <si>
    <t>3X (1.14%)</t>
  </si>
  <si>
    <t>Cardano</t>
  </si>
  <si>
    <t>4X (1.82%)</t>
  </si>
  <si>
    <t>Casper</t>
  </si>
  <si>
    <t>6X (0.2%)</t>
  </si>
  <si>
    <t>Celestia</t>
  </si>
  <si>
    <t>5X (0.59%)</t>
  </si>
  <si>
    <t>Chainlink</t>
  </si>
  <si>
    <t>4X (1.4%)</t>
  </si>
  <si>
    <t>Cosmos</t>
  </si>
  <si>
    <t>5X (0.95%)</t>
  </si>
  <si>
    <t>Decentraland</t>
  </si>
  <si>
    <t>5X (0.28%)</t>
  </si>
  <si>
    <t>Energy Web Token</t>
  </si>
  <si>
    <t>---</t>
  </si>
  <si>
    <t>4X (0.036%)</t>
  </si>
  <si>
    <t>Ethereum</t>
  </si>
  <si>
    <r>
      <rPr>
        <rFont val="Arial"/>
        <b/>
        <color rgb="FFFFFF00"/>
      </rPr>
      <t xml:space="preserve">1.5X (26%) </t>
    </r>
    <r>
      <rPr>
        <rFont val="Arial"/>
        <b/>
        <color rgb="FFFFFFFF"/>
      </rPr>
      <t xml:space="preserve"> |  </t>
    </r>
    <r>
      <rPr>
        <rFont val="Arial"/>
        <b/>
        <color rgb="FF00FF00"/>
      </rPr>
      <t>2X (35%)</t>
    </r>
  </si>
  <si>
    <t>Filecoin</t>
  </si>
  <si>
    <t>5X (0.66%)</t>
  </si>
  <si>
    <t>Hedera</t>
  </si>
  <si>
    <t>6X (0.92%)</t>
  </si>
  <si>
    <t>Illuvium</t>
  </si>
  <si>
    <t>10X (0.36%)</t>
  </si>
  <si>
    <t>Immutable X</t>
  </si>
  <si>
    <t>5X (0.81%)</t>
  </si>
  <si>
    <t>Injective Protocol</t>
  </si>
  <si>
    <t>6X (0.94%)</t>
  </si>
  <si>
    <t>Internet Computer Protocol</t>
  </si>
  <si>
    <t>5X (0.6%)</t>
  </si>
  <si>
    <t>IOTA</t>
  </si>
  <si>
    <t>4X (0.15%)</t>
  </si>
  <si>
    <t>Kadena</t>
  </si>
  <si>
    <t>6X (0.066%)</t>
  </si>
  <si>
    <t>Kaspa</t>
  </si>
  <si>
    <t>5X (0.43%)</t>
  </si>
  <si>
    <t>Mina Protocol</t>
  </si>
  <si>
    <t>6X (0.20%)</t>
  </si>
  <si>
    <t>Moonbeam</t>
  </si>
  <si>
    <t>4X (0.044%)</t>
  </si>
  <si>
    <t>Morpheus Network</t>
  </si>
  <si>
    <t>4X (0.016%)</t>
  </si>
  <si>
    <t>MultiversX</t>
  </si>
  <si>
    <t>5X (0.3%)</t>
  </si>
  <si>
    <t>Near Protocol</t>
  </si>
  <si>
    <t>5X (0.48%)</t>
  </si>
  <si>
    <t>Oasis Network</t>
  </si>
  <si>
    <t>4X (0.02%)</t>
  </si>
  <si>
    <t>Optimism</t>
  </si>
  <si>
    <t>Polkadot</t>
  </si>
  <si>
    <t>4X (1.88%)</t>
  </si>
  <si>
    <t>Polygon</t>
  </si>
  <si>
    <t>5X (2.22%)</t>
  </si>
  <si>
    <t>Quant</t>
  </si>
  <si>
    <t>6X (0.71%)</t>
  </si>
  <si>
    <t>Render</t>
  </si>
  <si>
    <t>6X (0.32%)</t>
  </si>
  <si>
    <t>SingularityNET</t>
  </si>
  <si>
    <t>6X (0.12%)</t>
  </si>
  <si>
    <t>Solana</t>
  </si>
  <si>
    <t>4X (2.92%)</t>
  </si>
  <si>
    <t>Stacks</t>
  </si>
  <si>
    <t>6X (0.52%)</t>
  </si>
  <si>
    <t>Stellar</t>
  </si>
  <si>
    <t>6X (1.73%)</t>
  </si>
  <si>
    <t>The Sandbox</t>
  </si>
  <si>
    <t>7X (0.45%)</t>
  </si>
  <si>
    <t>THORChain</t>
  </si>
  <si>
    <t>6X (0.63%)</t>
  </si>
  <si>
    <t>VeChain</t>
  </si>
  <si>
    <t>4X (0.45%)</t>
  </si>
  <si>
    <t>XDC Network</t>
  </si>
  <si>
    <t>6X (0.38%)</t>
  </si>
  <si>
    <t>XRP</t>
  </si>
  <si>
    <r>
      <rPr>
        <rFont val="Arial"/>
        <b/>
        <color rgb="FFFFFF00"/>
      </rPr>
      <t>3X (7.5%)  |</t>
    </r>
    <r>
      <rPr>
        <rFont val="Arial"/>
        <b/>
        <color rgb="FF00FF00"/>
      </rPr>
      <t xml:space="preserve">  5X (12.5%)</t>
    </r>
  </si>
  <si>
    <r>
      <rPr>
        <rFont val="Arial"/>
        <color theme="1"/>
      </rPr>
      <t xml:space="preserve">FULL DISCLOSURE:
THIS DOES NOT ACCOUNT FOR THE VARIOUS OTHER VARIABLES I USE IN MY TYPICAL PRICE PREDICTIONS.
- News / Annoucements
- Roadmap Upgrades
- Social Engagements
- Network Useage
- TVL
- Future Demand for the product
- Memetic
- Narratives
- Market penetration
ALL OF THESE VARIABLES GO INTO MY TYPICAL PREDICTIONS
-------------------------------------------------------------------------------------------
WHAT YOU SEE ABOVE SHOULD BE A GREAT BASELINE THOUGH.
</t>
    </r>
    <r>
      <rPr>
        <rFont val="Arial"/>
        <i/>
        <color theme="1"/>
      </rPr>
      <t>This is NOT financial advice nor is this guarenteed. These are my personal thoughts only.</t>
    </r>
  </si>
  <si>
    <t>A lot of time went into this spreadsheet - In return I would super appreciate if you shared this with those you'd like to see benefit from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</si>
</sst>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#,##0;(#,##0)"/>
    <numFmt numFmtId="166" formatCode="&quot;$&quot;#,##0"/>
    <numFmt numFmtId="167" formatCode="0.0000%"/>
    <numFmt numFmtId="168" formatCode="0.000%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sz val="10.0"/>
      <color rgb="FF1D1C1D"/>
      <name val="Arial"/>
      <scheme val="minor"/>
    </font>
    <font>
      <b/>
      <color rgb="FFFFFF00"/>
      <name val="Arial"/>
      <scheme val="minor"/>
    </font>
    <font>
      <b/>
      <sz val="10.0"/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2" fontId="3" numFmtId="3" xfId="0" applyAlignment="1" applyBorder="1" applyFont="1" applyNumberFormat="1">
      <alignment horizontal="center" readingOrder="0" shrinkToFit="0" vertical="center" wrapText="1"/>
    </xf>
    <xf borderId="1" fillId="2" fontId="3" numFmtId="10" xfId="0" applyAlignment="1" applyBorder="1" applyFont="1" applyNumberFormat="1">
      <alignment horizontal="center" readingOrder="0" shrinkToFit="0" vertical="center" wrapText="1"/>
    </xf>
    <xf borderId="1" fillId="2" fontId="3" numFmtId="9" xfId="0" applyAlignment="1" applyBorder="1" applyFont="1" applyNumberFormat="1">
      <alignment horizontal="center" readingOrder="0" shrinkToFit="0" vertical="center" wrapText="1"/>
    </xf>
    <xf borderId="1" fillId="2" fontId="4" numFmtId="3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3" fontId="2" numFmtId="165" xfId="0" applyAlignment="1" applyBorder="1" applyFill="1" applyFont="1" applyNumberFormat="1">
      <alignment horizontal="center" readingOrder="0"/>
    </xf>
    <xf borderId="1" fillId="4" fontId="2" numFmtId="10" xfId="0" applyAlignment="1" applyBorder="1" applyFill="1" applyFont="1" applyNumberForma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shrinkToFit="0" vertical="center" wrapText="1"/>
    </xf>
    <xf borderId="1" fillId="5" fontId="2" numFmtId="9" xfId="0" applyAlignment="1" applyBorder="1" applyFill="1" applyFont="1" applyNumberFormat="1">
      <alignment horizontal="center" readingOrder="0" shrinkToFit="0" vertical="center" wrapText="1"/>
    </xf>
    <xf borderId="1" fillId="6" fontId="2" numFmtId="166" xfId="0" applyAlignment="1" applyBorder="1" applyFill="1" applyFont="1" applyNumberForma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1" fillId="7" fontId="2" numFmtId="166" xfId="0" applyAlignment="1" applyBorder="1" applyFill="1" applyFont="1" applyNumberFormat="1">
      <alignment horizontal="center" readingOrder="0" shrinkToFit="0" vertical="center" wrapText="1"/>
    </xf>
    <xf borderId="1" fillId="8" fontId="2" numFmtId="166" xfId="0" applyAlignment="1" applyBorder="1" applyFill="1" applyFont="1" applyNumberFormat="1">
      <alignment horizontal="center" readingOrder="0" shrinkToFit="0" vertical="center" wrapText="1"/>
    </xf>
    <xf borderId="1" fillId="9" fontId="3" numFmtId="1" xfId="0" applyAlignment="1" applyBorder="1" applyFill="1" applyFont="1" applyNumberFormat="1">
      <alignment horizontal="center" shrinkToFit="0" vertical="center" wrapText="1"/>
    </xf>
    <xf borderId="1" fillId="2" fontId="2" numFmtId="10" xfId="0" applyAlignment="1" applyBorder="1" applyFont="1" applyNumberFormat="1">
      <alignment horizontal="center" shrinkToFit="0" vertical="center" wrapText="1"/>
    </xf>
    <xf borderId="1" fillId="2" fontId="2" numFmtId="9" xfId="0" applyAlignment="1" applyBorder="1" applyFont="1" applyNumberFormat="1">
      <alignment horizontal="center" readingOrder="0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2" numFmtId="10" xfId="0" applyAlignment="1" applyBorder="1" applyFont="1" applyNumberForma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1" fillId="0" fontId="2" numFmtId="168" xfId="0" applyAlignment="1" applyBorder="1" applyFont="1" applyNumberFormat="1">
      <alignment horizontal="center" readingOrder="0" shrinkToFit="0" vertical="center" wrapText="1"/>
    </xf>
    <xf borderId="1" fillId="3" fontId="2" numFmtId="9" xfId="0" applyAlignment="1" applyBorder="1" applyFont="1" applyNumberFormat="1">
      <alignment horizontal="center" readingOrder="0" shrinkToFit="0" vertical="center" wrapText="1"/>
    </xf>
    <xf borderId="1" fillId="4" fontId="2" numFmtId="168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1085850" cy="76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4.25"/>
    <col customWidth="1" min="3" max="3" width="26.13"/>
    <col customWidth="1" min="4" max="8" width="12.63"/>
    <col customWidth="1" min="9" max="9" width="21.38"/>
    <col customWidth="1" min="10" max="10" width="19.75"/>
    <col customWidth="1" min="11" max="12" width="21.38"/>
    <col customWidth="1" min="13" max="13" width="14.25"/>
    <col customWidth="1" min="14" max="1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0.0" customHeight="1">
      <c r="A2" s="3" t="s">
        <v>14</v>
      </c>
      <c r="B2" s="4">
        <v>1.1</v>
      </c>
      <c r="C2" s="5">
        <v>1.0E8</v>
      </c>
      <c r="D2" s="6">
        <v>0.005</v>
      </c>
      <c r="E2" s="6">
        <v>0.002</v>
      </c>
      <c r="F2" s="7">
        <v>0.02</v>
      </c>
      <c r="G2" s="7">
        <v>4.0</v>
      </c>
      <c r="H2" s="7">
        <v>3.25</v>
      </c>
      <c r="I2" s="3" t="s">
        <v>15</v>
      </c>
      <c r="J2" s="8" t="s">
        <v>16</v>
      </c>
      <c r="K2" s="3" t="s">
        <v>17</v>
      </c>
      <c r="L2" s="3" t="s">
        <v>18</v>
      </c>
      <c r="M2" s="3"/>
      <c r="N2" s="3">
        <v>23.0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9" t="s">
        <v>19</v>
      </c>
      <c r="B3" s="10">
        <v>0.2</v>
      </c>
      <c r="C3" s="11">
        <v>8.5E9</v>
      </c>
      <c r="D3" s="12">
        <v>7.3E-4</v>
      </c>
      <c r="E3" s="13">
        <v>5.5E-4</v>
      </c>
      <c r="F3" s="13">
        <v>0.00529</v>
      </c>
      <c r="G3" s="14">
        <f t="shared" ref="G3:G42" si="1">sum(F3-E3)/E3</f>
        <v>8.618181818</v>
      </c>
      <c r="H3" s="14">
        <f t="shared" ref="H3:H42" si="2">SUM(F3-D3)/D3</f>
        <v>6.246575342</v>
      </c>
      <c r="I3" s="15">
        <v>2.19E9</v>
      </c>
      <c r="J3" s="16" t="s">
        <v>20</v>
      </c>
      <c r="K3" s="17">
        <v>2.555E10</v>
      </c>
      <c r="L3" s="18">
        <v>7.3E10</v>
      </c>
      <c r="M3" s="4">
        <f t="shared" ref="M3:M42" si="3">sum(AVERAGE(I3:L3))/C3</f>
        <v>3.950588235</v>
      </c>
      <c r="N3" s="19">
        <f t="shared" ref="N3:N42" si="4">sum(M3/B3)</f>
        <v>19.75294118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9" t="s">
        <v>21</v>
      </c>
      <c r="B4" s="10">
        <v>1.16</v>
      </c>
      <c r="C4" s="11">
        <v>8.3E9</v>
      </c>
      <c r="D4" s="12">
        <v>9.2E-4</v>
      </c>
      <c r="E4" s="20"/>
      <c r="F4" s="20"/>
      <c r="G4" s="21" t="str">
        <f t="shared" si="1"/>
        <v>#DIV/0!</v>
      </c>
      <c r="H4" s="21">
        <f t="shared" si="2"/>
        <v>-1</v>
      </c>
      <c r="I4" s="15">
        <v>2.7E9</v>
      </c>
      <c r="J4" s="22" t="s">
        <v>22</v>
      </c>
      <c r="K4" s="17">
        <v>3.15E10</v>
      </c>
      <c r="L4" s="18">
        <v>1.8E11</v>
      </c>
      <c r="M4" s="4">
        <f t="shared" si="3"/>
        <v>8.602409639</v>
      </c>
      <c r="N4" s="19">
        <f t="shared" si="4"/>
        <v>7.415870378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9" t="s">
        <v>23</v>
      </c>
      <c r="B5" s="10">
        <v>39.2</v>
      </c>
      <c r="C5" s="11">
        <v>5.13112208E8</v>
      </c>
      <c r="D5" s="12">
        <v>0.00286</v>
      </c>
      <c r="E5" s="13">
        <v>3.0E-4</v>
      </c>
      <c r="F5" s="13">
        <v>0.0124</v>
      </c>
      <c r="G5" s="14">
        <f t="shared" si="1"/>
        <v>40.33333333</v>
      </c>
      <c r="H5" s="14">
        <f t="shared" si="2"/>
        <v>3.335664336</v>
      </c>
      <c r="I5" s="15">
        <v>8.58E9</v>
      </c>
      <c r="J5" s="22" t="s">
        <v>24</v>
      </c>
      <c r="K5" s="17">
        <v>6.006E10</v>
      </c>
      <c r="L5" s="18">
        <v>2.86E11</v>
      </c>
      <c r="M5" s="4">
        <f t="shared" si="3"/>
        <v>230.3849557</v>
      </c>
      <c r="N5" s="19">
        <f t="shared" si="4"/>
        <v>5.877167238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3" t="s">
        <v>25</v>
      </c>
      <c r="B6" s="10">
        <v>0.63</v>
      </c>
      <c r="C6" s="11">
        <v>3.57E10</v>
      </c>
      <c r="D6" s="12">
        <v>0.00782</v>
      </c>
      <c r="E6" s="13">
        <v>0.00455</v>
      </c>
      <c r="F6" s="13">
        <v>0.0485</v>
      </c>
      <c r="G6" s="14">
        <f t="shared" si="1"/>
        <v>9.659340659</v>
      </c>
      <c r="H6" s="14">
        <f t="shared" si="2"/>
        <v>5.202046036</v>
      </c>
      <c r="I6" s="15">
        <v>2.346E10</v>
      </c>
      <c r="J6" s="22" t="s">
        <v>26</v>
      </c>
      <c r="K6" s="17">
        <v>1.274E11</v>
      </c>
      <c r="L6" s="18">
        <v>7.82E11</v>
      </c>
      <c r="M6" s="4">
        <f t="shared" si="3"/>
        <v>8.710177404</v>
      </c>
      <c r="N6" s="19">
        <f t="shared" si="4"/>
        <v>13.82567842</v>
      </c>
      <c r="O6" s="2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9" t="s">
        <v>27</v>
      </c>
      <c r="B7" s="10">
        <v>0.043</v>
      </c>
      <c r="C7" s="11">
        <v>1.3E10</v>
      </c>
      <c r="D7" s="12">
        <v>3.4E-4</v>
      </c>
      <c r="E7" s="13">
        <v>7.0E-5</v>
      </c>
      <c r="F7" s="13">
        <v>5.2E-4</v>
      </c>
      <c r="G7" s="14">
        <f t="shared" si="1"/>
        <v>6.428571429</v>
      </c>
      <c r="H7" s="14">
        <f t="shared" si="2"/>
        <v>0.5294117647</v>
      </c>
      <c r="I7" s="15">
        <v>1.02E9</v>
      </c>
      <c r="J7" s="22" t="s">
        <v>28</v>
      </c>
      <c r="K7" s="17">
        <v>1.428E10</v>
      </c>
      <c r="L7" s="18">
        <v>3.4E10</v>
      </c>
      <c r="M7" s="4">
        <f t="shared" si="3"/>
        <v>1.264102564</v>
      </c>
      <c r="N7" s="19">
        <f t="shared" si="4"/>
        <v>29.39773405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9" t="s">
        <v>29</v>
      </c>
      <c r="B8" s="10">
        <v>13.73</v>
      </c>
      <c r="C8" s="11">
        <v>8.2E8</v>
      </c>
      <c r="D8" s="12">
        <v>0.00118</v>
      </c>
      <c r="E8" s="20"/>
      <c r="F8" s="20"/>
      <c r="G8" s="21" t="str">
        <f t="shared" si="1"/>
        <v>#DIV/0!</v>
      </c>
      <c r="H8" s="21">
        <f t="shared" si="2"/>
        <v>-1</v>
      </c>
      <c r="I8" s="15">
        <v>3.54E9</v>
      </c>
      <c r="J8" s="22" t="s">
        <v>30</v>
      </c>
      <c r="K8" s="17">
        <v>4.13E10</v>
      </c>
      <c r="L8" s="18">
        <v>1.2E11</v>
      </c>
      <c r="M8" s="4">
        <f t="shared" si="3"/>
        <v>67.00813008</v>
      </c>
      <c r="N8" s="19">
        <f t="shared" si="4"/>
        <v>4.88041734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9" t="s">
        <v>31</v>
      </c>
      <c r="B9" s="10">
        <v>15.0</v>
      </c>
      <c r="C9" s="11">
        <v>6.7E8</v>
      </c>
      <c r="D9" s="12">
        <v>0.00353</v>
      </c>
      <c r="E9" s="13">
        <v>0.0038</v>
      </c>
      <c r="F9" s="13">
        <v>0.0181</v>
      </c>
      <c r="G9" s="14">
        <f t="shared" si="1"/>
        <v>3.763157895</v>
      </c>
      <c r="H9" s="14">
        <f t="shared" si="2"/>
        <v>4.127478754</v>
      </c>
      <c r="I9" s="15">
        <v>1.059E10</v>
      </c>
      <c r="J9" s="22" t="s">
        <v>32</v>
      </c>
      <c r="K9" s="17">
        <v>9.884E10</v>
      </c>
      <c r="L9" s="18">
        <v>3.53E11</v>
      </c>
      <c r="M9" s="4">
        <f t="shared" si="3"/>
        <v>230.0646766</v>
      </c>
      <c r="N9" s="19">
        <f t="shared" si="4"/>
        <v>15.33764511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9" t="s">
        <v>33</v>
      </c>
      <c r="B10" s="10">
        <v>11.2</v>
      </c>
      <c r="C10" s="11">
        <v>4.83490611E8</v>
      </c>
      <c r="D10" s="12">
        <v>0.00189</v>
      </c>
      <c r="E10" s="13">
        <v>0.00388</v>
      </c>
      <c r="F10" s="13">
        <v>0.005</v>
      </c>
      <c r="G10" s="14">
        <f t="shared" si="1"/>
        <v>0.2886597938</v>
      </c>
      <c r="H10" s="14">
        <f t="shared" si="2"/>
        <v>1.645502646</v>
      </c>
      <c r="I10" s="15">
        <v>5.67E9</v>
      </c>
      <c r="J10" s="22" t="s">
        <v>34</v>
      </c>
      <c r="K10" s="17">
        <v>6.615E10</v>
      </c>
      <c r="L10" s="18">
        <v>1.89E11</v>
      </c>
      <c r="M10" s="4">
        <f t="shared" si="3"/>
        <v>179.8173491</v>
      </c>
      <c r="N10" s="19">
        <f t="shared" si="4"/>
        <v>16.05512046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9" t="s">
        <v>35</v>
      </c>
      <c r="B11" s="10">
        <v>0.5</v>
      </c>
      <c r="C11" s="11">
        <v>1.8E9</v>
      </c>
      <c r="D11" s="12">
        <v>5.5E-4</v>
      </c>
      <c r="E11" s="13">
        <v>0.0015</v>
      </c>
      <c r="F11" s="13">
        <v>0.0033</v>
      </c>
      <c r="G11" s="14">
        <f t="shared" si="1"/>
        <v>1.2</v>
      </c>
      <c r="H11" s="14">
        <f t="shared" si="2"/>
        <v>5</v>
      </c>
      <c r="I11" s="15">
        <v>1.65E9</v>
      </c>
      <c r="J11" s="22" t="s">
        <v>36</v>
      </c>
      <c r="K11" s="17">
        <v>1.96E10</v>
      </c>
      <c r="L11" s="18">
        <v>5.5E10</v>
      </c>
      <c r="M11" s="4">
        <f t="shared" si="3"/>
        <v>14.12037037</v>
      </c>
      <c r="N11" s="19">
        <f t="shared" si="4"/>
        <v>28.24074074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9" t="s">
        <v>37</v>
      </c>
      <c r="B12" s="10">
        <v>2.47</v>
      </c>
      <c r="C12" s="11">
        <v>3.7998021E7</v>
      </c>
      <c r="D12" s="12">
        <v>9.0E-5</v>
      </c>
      <c r="E12" s="25" t="s">
        <v>38</v>
      </c>
      <c r="F12" s="13">
        <v>0.0011</v>
      </c>
      <c r="G12" s="21" t="str">
        <f t="shared" si="1"/>
        <v>#VALUE!</v>
      </c>
      <c r="H12" s="14">
        <f t="shared" si="2"/>
        <v>11.22222222</v>
      </c>
      <c r="I12" s="15">
        <v>2.7E8</v>
      </c>
      <c r="J12" s="22" t="s">
        <v>39</v>
      </c>
      <c r="K12" s="17">
        <v>2.52E9</v>
      </c>
      <c r="L12" s="18">
        <v>9.0E9</v>
      </c>
      <c r="M12" s="4">
        <f t="shared" si="3"/>
        <v>103.426439</v>
      </c>
      <c r="N12" s="19">
        <f t="shared" si="4"/>
        <v>41.87305222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9" t="s">
        <v>40</v>
      </c>
      <c r="B13" s="10">
        <v>2285.0</v>
      </c>
      <c r="C13" s="11">
        <v>1.20227075E8</v>
      </c>
      <c r="D13" s="12">
        <v>0.17518</v>
      </c>
      <c r="E13" s="13">
        <v>0.0735</v>
      </c>
      <c r="F13" s="13">
        <v>0.2112</v>
      </c>
      <c r="G13" s="14">
        <f t="shared" si="1"/>
        <v>1.873469388</v>
      </c>
      <c r="H13" s="14">
        <f t="shared" si="2"/>
        <v>0.2056170796</v>
      </c>
      <c r="I13" s="15">
        <v>5.2554E11</v>
      </c>
      <c r="J13" s="26" t="s">
        <v>41</v>
      </c>
      <c r="K13" s="17">
        <v>1.83939E12</v>
      </c>
      <c r="L13" s="18">
        <v>3.5E12</v>
      </c>
      <c r="M13" s="4">
        <f t="shared" si="3"/>
        <v>16260.70223</v>
      </c>
      <c r="N13" s="19">
        <f t="shared" si="4"/>
        <v>7.116281064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9" t="s">
        <v>42</v>
      </c>
      <c r="B14" s="10">
        <v>4.78</v>
      </c>
      <c r="C14" s="11">
        <v>1.187366176E9</v>
      </c>
      <c r="D14" s="12">
        <v>0.00132</v>
      </c>
      <c r="E14" s="13">
        <v>0.00135</v>
      </c>
      <c r="F14" s="13">
        <v>0.0061</v>
      </c>
      <c r="G14" s="14">
        <f t="shared" si="1"/>
        <v>3.518518519</v>
      </c>
      <c r="H14" s="14">
        <f t="shared" si="2"/>
        <v>3.621212121</v>
      </c>
      <c r="I14" s="15">
        <v>3.96E9</v>
      </c>
      <c r="J14" s="22" t="s">
        <v>43</v>
      </c>
      <c r="K14" s="17">
        <v>4.62E10</v>
      </c>
      <c r="L14" s="18">
        <v>1.32E11</v>
      </c>
      <c r="M14" s="4">
        <f t="shared" si="3"/>
        <v>51.13839456</v>
      </c>
      <c r="N14" s="19">
        <f t="shared" si="4"/>
        <v>10.6984089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9" t="s">
        <v>44</v>
      </c>
      <c r="B15" s="10">
        <v>0.087</v>
      </c>
      <c r="C15" s="27">
        <v>3.63E10</v>
      </c>
      <c r="D15" s="12">
        <v>0.00153</v>
      </c>
      <c r="E15" s="13">
        <v>1.1E-4</v>
      </c>
      <c r="F15" s="13">
        <v>0.0025</v>
      </c>
      <c r="G15" s="14">
        <f t="shared" si="1"/>
        <v>21.72727273</v>
      </c>
      <c r="H15" s="14">
        <f t="shared" si="2"/>
        <v>0.6339869281</v>
      </c>
      <c r="I15" s="15">
        <v>4.59E9</v>
      </c>
      <c r="J15" s="22" t="s">
        <v>45</v>
      </c>
      <c r="K15" s="17">
        <v>6.426E10</v>
      </c>
      <c r="L15" s="18">
        <v>1.53E11</v>
      </c>
      <c r="M15" s="4">
        <f t="shared" si="3"/>
        <v>2.037190083</v>
      </c>
      <c r="N15" s="19">
        <f t="shared" si="4"/>
        <v>23.41597796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9" t="s">
        <v>46</v>
      </c>
      <c r="B16" s="10">
        <v>100.0</v>
      </c>
      <c r="C16" s="27">
        <v>7500000.0</v>
      </c>
      <c r="D16" s="12">
        <v>3.6E-4</v>
      </c>
      <c r="E16" s="28">
        <v>1.5E-5</v>
      </c>
      <c r="F16" s="29">
        <v>4.5E-4</v>
      </c>
      <c r="G16" s="14">
        <f t="shared" si="1"/>
        <v>29</v>
      </c>
      <c r="H16" s="14">
        <f t="shared" si="2"/>
        <v>0.25</v>
      </c>
      <c r="I16" s="15">
        <v>1.08E9</v>
      </c>
      <c r="J16" s="22" t="s">
        <v>47</v>
      </c>
      <c r="K16" s="17">
        <v>2.52E10</v>
      </c>
      <c r="L16" s="18">
        <v>7.2E10</v>
      </c>
      <c r="M16" s="4">
        <f t="shared" si="3"/>
        <v>4368</v>
      </c>
      <c r="N16" s="19">
        <f t="shared" si="4"/>
        <v>43.68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9" t="s">
        <v>48</v>
      </c>
      <c r="B17" s="10">
        <v>2.11</v>
      </c>
      <c r="C17" s="27">
        <v>1.9E9</v>
      </c>
      <c r="D17" s="12">
        <v>0.00161</v>
      </c>
      <c r="E17" s="20"/>
      <c r="F17" s="20"/>
      <c r="G17" s="21" t="str">
        <f t="shared" si="1"/>
        <v>#DIV/0!</v>
      </c>
      <c r="H17" s="21">
        <f t="shared" si="2"/>
        <v>-1</v>
      </c>
      <c r="I17" s="15">
        <v>4.83E9</v>
      </c>
      <c r="J17" s="22" t="s">
        <v>49</v>
      </c>
      <c r="K17" s="17">
        <v>5.67E10</v>
      </c>
      <c r="L17" s="18">
        <v>1.61E11</v>
      </c>
      <c r="M17" s="4">
        <f t="shared" si="3"/>
        <v>39.04035088</v>
      </c>
      <c r="N17" s="19">
        <f t="shared" si="4"/>
        <v>18.50253596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9" t="s">
        <v>50</v>
      </c>
      <c r="B18" s="10">
        <v>31.57</v>
      </c>
      <c r="C18" s="27">
        <v>1.0E8</v>
      </c>
      <c r="D18" s="12">
        <v>0.00157</v>
      </c>
      <c r="E18" s="29">
        <v>2.3E-5</v>
      </c>
      <c r="F18" s="13">
        <v>2.0E-4</v>
      </c>
      <c r="G18" s="14">
        <f t="shared" si="1"/>
        <v>7.695652174</v>
      </c>
      <c r="H18" s="30">
        <f t="shared" si="2"/>
        <v>-0.872611465</v>
      </c>
      <c r="I18" s="15">
        <v>4.71E9</v>
      </c>
      <c r="J18" s="22" t="s">
        <v>51</v>
      </c>
      <c r="K18" s="17">
        <v>9.42E10</v>
      </c>
      <c r="L18" s="18">
        <v>1.727E11</v>
      </c>
      <c r="M18" s="4">
        <f t="shared" si="3"/>
        <v>905.3666667</v>
      </c>
      <c r="N18" s="19">
        <f t="shared" si="4"/>
        <v>28.6780699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9" t="s">
        <v>52</v>
      </c>
      <c r="B19" s="10">
        <v>6.28</v>
      </c>
      <c r="C19" s="27">
        <v>6.7E8</v>
      </c>
      <c r="D19" s="12">
        <v>0.00119</v>
      </c>
      <c r="E19" s="25" t="s">
        <v>38</v>
      </c>
      <c r="F19" s="13">
        <v>0.0115</v>
      </c>
      <c r="G19" s="21" t="str">
        <f t="shared" si="1"/>
        <v>#VALUE!</v>
      </c>
      <c r="H19" s="14">
        <f t="shared" si="2"/>
        <v>8.663865546</v>
      </c>
      <c r="I19" s="15">
        <v>3.57E9</v>
      </c>
      <c r="J19" s="22" t="s">
        <v>53</v>
      </c>
      <c r="K19" s="17">
        <v>4.165E10</v>
      </c>
      <c r="L19" s="18">
        <v>1.19E11</v>
      </c>
      <c r="M19" s="4">
        <f t="shared" si="3"/>
        <v>81.70149254</v>
      </c>
      <c r="N19" s="19">
        <f t="shared" si="4"/>
        <v>13.00979181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9" t="s">
        <v>54</v>
      </c>
      <c r="B20" s="10">
        <v>0.3</v>
      </c>
      <c r="C20" s="27">
        <v>2.779530283E9</v>
      </c>
      <c r="D20" s="12">
        <v>3.8E-4</v>
      </c>
      <c r="E20" s="13">
        <v>0.0025</v>
      </c>
      <c r="F20" s="13">
        <v>0.0029</v>
      </c>
      <c r="G20" s="14">
        <f t="shared" si="1"/>
        <v>0.16</v>
      </c>
      <c r="H20" s="14">
        <f t="shared" si="2"/>
        <v>6.631578947</v>
      </c>
      <c r="I20" s="15">
        <v>1.14E9</v>
      </c>
      <c r="J20" s="22" t="s">
        <v>55</v>
      </c>
      <c r="K20" s="17">
        <v>1.064E10</v>
      </c>
      <c r="L20" s="18">
        <v>3.8E10</v>
      </c>
      <c r="M20" s="4">
        <f t="shared" si="3"/>
        <v>5.969833621</v>
      </c>
      <c r="N20" s="19">
        <f t="shared" si="4"/>
        <v>19.8994454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9" t="s">
        <v>56</v>
      </c>
      <c r="B21" s="10">
        <v>0.7</v>
      </c>
      <c r="C21" s="27">
        <v>2.6E8</v>
      </c>
      <c r="D21" s="12">
        <v>1.1E-4</v>
      </c>
      <c r="E21" s="29">
        <v>4.0E-5</v>
      </c>
      <c r="F21" s="13">
        <v>0.00123</v>
      </c>
      <c r="G21" s="14">
        <f t="shared" si="1"/>
        <v>29.75</v>
      </c>
      <c r="H21" s="14">
        <f t="shared" si="2"/>
        <v>10.18181818</v>
      </c>
      <c r="I21" s="15">
        <v>3.3E8</v>
      </c>
      <c r="J21" s="22" t="s">
        <v>57</v>
      </c>
      <c r="K21" s="17">
        <v>4.62E9</v>
      </c>
      <c r="L21" s="18">
        <v>1.1E10</v>
      </c>
      <c r="M21" s="4">
        <f t="shared" si="3"/>
        <v>20.44871795</v>
      </c>
      <c r="N21" s="19">
        <f t="shared" si="4"/>
        <v>29.21245421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3" t="s">
        <v>58</v>
      </c>
      <c r="B22" s="10">
        <v>0.13</v>
      </c>
      <c r="C22" s="27">
        <v>2.6E10</v>
      </c>
      <c r="D22" s="12">
        <v>8.6E-4</v>
      </c>
      <c r="E22" s="20"/>
      <c r="F22" s="20"/>
      <c r="G22" s="21" t="str">
        <f t="shared" si="1"/>
        <v>#DIV/0!</v>
      </c>
      <c r="H22" s="21">
        <f t="shared" si="2"/>
        <v>-1</v>
      </c>
      <c r="I22" s="15">
        <v>2.58E9</v>
      </c>
      <c r="J22" s="22" t="s">
        <v>59</v>
      </c>
      <c r="K22" s="17">
        <v>3.01E10</v>
      </c>
      <c r="L22" s="18">
        <v>8.6E10</v>
      </c>
      <c r="M22" s="4">
        <f t="shared" si="3"/>
        <v>1.521538462</v>
      </c>
      <c r="N22" s="19">
        <f t="shared" si="4"/>
        <v>11.70414201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9" t="s">
        <v>60</v>
      </c>
      <c r="B23" s="10">
        <v>0.78</v>
      </c>
      <c r="C23" s="27">
        <v>1.3E9</v>
      </c>
      <c r="D23" s="12">
        <v>3.4E-4</v>
      </c>
      <c r="E23" s="13">
        <v>3.0E-4</v>
      </c>
      <c r="F23" s="13">
        <v>9.1E-4</v>
      </c>
      <c r="G23" s="14">
        <f t="shared" si="1"/>
        <v>2.033333333</v>
      </c>
      <c r="H23" s="14">
        <f t="shared" si="2"/>
        <v>1.676470588</v>
      </c>
      <c r="I23" s="15">
        <v>1.02E9</v>
      </c>
      <c r="J23" s="22" t="s">
        <v>61</v>
      </c>
      <c r="K23" s="17">
        <v>1.428E10</v>
      </c>
      <c r="L23" s="18">
        <v>3.4E10</v>
      </c>
      <c r="M23" s="4">
        <f t="shared" si="3"/>
        <v>12.64102564</v>
      </c>
      <c r="N23" s="19">
        <f t="shared" si="4"/>
        <v>16.20644313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9" t="s">
        <v>62</v>
      </c>
      <c r="B24" s="10">
        <v>0.34</v>
      </c>
      <c r="C24" s="27">
        <v>1.098E9</v>
      </c>
      <c r="D24" s="12">
        <v>1.1E-4</v>
      </c>
      <c r="E24" s="25" t="s">
        <v>38</v>
      </c>
      <c r="F24" s="13">
        <v>5.0E-4</v>
      </c>
      <c r="G24" s="21" t="str">
        <f t="shared" si="1"/>
        <v>#VALUE!</v>
      </c>
      <c r="H24" s="14">
        <f t="shared" si="2"/>
        <v>3.545454545</v>
      </c>
      <c r="I24" s="15">
        <v>3.3E8</v>
      </c>
      <c r="J24" s="22" t="s">
        <v>63</v>
      </c>
      <c r="K24" s="17">
        <v>3.08E9</v>
      </c>
      <c r="L24" s="18">
        <v>1.1E10</v>
      </c>
      <c r="M24" s="4">
        <f t="shared" si="3"/>
        <v>4.374620522</v>
      </c>
      <c r="N24" s="19">
        <f t="shared" si="4"/>
        <v>12.86653095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9" t="s">
        <v>64</v>
      </c>
      <c r="B25" s="10">
        <v>1.08</v>
      </c>
      <c r="C25" s="27">
        <v>4.7897218E7</v>
      </c>
      <c r="D25" s="31">
        <v>4.0E-5</v>
      </c>
      <c r="E25" s="20"/>
      <c r="F25" s="20"/>
      <c r="G25" s="21" t="str">
        <f t="shared" si="1"/>
        <v>#DIV/0!</v>
      </c>
      <c r="H25" s="21">
        <f t="shared" si="2"/>
        <v>-1</v>
      </c>
      <c r="I25" s="15">
        <v>1.2E8</v>
      </c>
      <c r="J25" s="22" t="s">
        <v>65</v>
      </c>
      <c r="K25" s="17">
        <v>1.12E9</v>
      </c>
      <c r="L25" s="18">
        <v>4.0E9</v>
      </c>
      <c r="M25" s="4">
        <f t="shared" si="3"/>
        <v>36.46697532</v>
      </c>
      <c r="N25" s="19">
        <f t="shared" si="4"/>
        <v>33.76571789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9" t="s">
        <v>66</v>
      </c>
      <c r="B26" s="10">
        <v>61.28</v>
      </c>
      <c r="C26" s="27">
        <v>2.8562E7</v>
      </c>
      <c r="D26" s="12">
        <v>6.0E-4</v>
      </c>
      <c r="E26" s="13">
        <v>3.1E-4</v>
      </c>
      <c r="F26" s="13">
        <v>0.00338</v>
      </c>
      <c r="G26" s="14">
        <f t="shared" si="1"/>
        <v>9.903225806</v>
      </c>
      <c r="H26" s="14">
        <f t="shared" si="2"/>
        <v>4.633333333</v>
      </c>
      <c r="I26" s="15">
        <v>1.8E9</v>
      </c>
      <c r="J26" s="22" t="s">
        <v>67</v>
      </c>
      <c r="K26" s="17">
        <v>2.1E10</v>
      </c>
      <c r="L26" s="18">
        <v>6.0E10</v>
      </c>
      <c r="M26" s="4">
        <f t="shared" si="3"/>
        <v>966.3188852</v>
      </c>
      <c r="N26" s="19">
        <f t="shared" si="4"/>
        <v>15.76891131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9" t="s">
        <v>68</v>
      </c>
      <c r="B27" s="10">
        <v>2.26</v>
      </c>
      <c r="C27" s="27">
        <v>1.282652797E9</v>
      </c>
      <c r="D27" s="12">
        <v>9.6E-4</v>
      </c>
      <c r="E27" s="13">
        <v>3.7E-4</v>
      </c>
      <c r="F27" s="13">
        <v>0.0057</v>
      </c>
      <c r="G27" s="14">
        <f t="shared" si="1"/>
        <v>14.40540541</v>
      </c>
      <c r="H27" s="14">
        <f t="shared" si="2"/>
        <v>4.9375</v>
      </c>
      <c r="I27" s="15">
        <v>2.88E9</v>
      </c>
      <c r="J27" s="22" t="s">
        <v>69</v>
      </c>
      <c r="K27" s="17">
        <v>3.36E10</v>
      </c>
      <c r="L27" s="18">
        <v>9.6E10</v>
      </c>
      <c r="M27" s="4">
        <f t="shared" si="3"/>
        <v>34.42864671</v>
      </c>
      <c r="N27" s="19">
        <f t="shared" si="4"/>
        <v>15.23391447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32" t="s">
        <v>70</v>
      </c>
      <c r="B28" s="10">
        <v>0.095</v>
      </c>
      <c r="C28" s="27">
        <v>6.474E9</v>
      </c>
      <c r="D28" s="12">
        <v>2.0E-4</v>
      </c>
      <c r="E28" s="13">
        <v>8.0E-5</v>
      </c>
      <c r="F28" s="13">
        <v>9.2E-4</v>
      </c>
      <c r="G28" s="14">
        <f t="shared" si="1"/>
        <v>10.5</v>
      </c>
      <c r="H28" s="14">
        <f t="shared" si="2"/>
        <v>3.6</v>
      </c>
      <c r="I28" s="15">
        <v>6.0E8</v>
      </c>
      <c r="J28" s="22" t="s">
        <v>71</v>
      </c>
      <c r="K28" s="17">
        <v>5.6E9</v>
      </c>
      <c r="L28" s="18">
        <v>2.0E10</v>
      </c>
      <c r="M28" s="4">
        <f t="shared" si="3"/>
        <v>1.348985686</v>
      </c>
      <c r="N28" s="19">
        <f t="shared" si="4"/>
        <v>14.19984933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32" t="s">
        <v>72</v>
      </c>
      <c r="B29" s="10">
        <v>2.2</v>
      </c>
      <c r="C29" s="27">
        <v>3.750722201E9</v>
      </c>
      <c r="D29" s="12">
        <v>0.00119</v>
      </c>
      <c r="E29" s="20"/>
      <c r="F29" s="20"/>
      <c r="G29" s="21" t="str">
        <f t="shared" si="1"/>
        <v>#DIV/0!</v>
      </c>
      <c r="H29" s="21">
        <f t="shared" si="2"/>
        <v>-1</v>
      </c>
      <c r="I29" s="15">
        <v>3.57E9</v>
      </c>
      <c r="J29" s="22" t="s">
        <v>53</v>
      </c>
      <c r="K29" s="17">
        <v>4.2E10</v>
      </c>
      <c r="L29" s="18">
        <v>8.33E10</v>
      </c>
      <c r="M29" s="4">
        <f t="shared" si="3"/>
        <v>11.45290543</v>
      </c>
      <c r="N29" s="19">
        <f t="shared" si="4"/>
        <v>5.205866105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9" t="s">
        <v>73</v>
      </c>
      <c r="B30" s="10">
        <v>7.5</v>
      </c>
      <c r="C30" s="27">
        <v>1.674311473E9</v>
      </c>
      <c r="D30" s="12">
        <v>0.00469</v>
      </c>
      <c r="E30" s="13">
        <v>0.0091</v>
      </c>
      <c r="F30" s="13">
        <v>0.0226</v>
      </c>
      <c r="G30" s="14">
        <f t="shared" si="1"/>
        <v>1.483516484</v>
      </c>
      <c r="H30" s="14">
        <f t="shared" si="2"/>
        <v>3.818763326</v>
      </c>
      <c r="I30" s="15">
        <v>1.407E10</v>
      </c>
      <c r="J30" s="22" t="s">
        <v>74</v>
      </c>
      <c r="K30" s="17">
        <v>1.3132E11</v>
      </c>
      <c r="L30" s="18">
        <v>4.69E11</v>
      </c>
      <c r="M30" s="4">
        <f t="shared" si="3"/>
        <v>122.3169464</v>
      </c>
      <c r="N30" s="19">
        <f t="shared" si="4"/>
        <v>16.30892618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9" t="s">
        <v>75</v>
      </c>
      <c r="B31" s="10">
        <v>0.87</v>
      </c>
      <c r="C31" s="27">
        <v>9.999999999E9</v>
      </c>
      <c r="D31" s="12">
        <v>0.00443</v>
      </c>
      <c r="E31" s="13">
        <v>1.8E-4</v>
      </c>
      <c r="F31" s="13">
        <v>0.01136</v>
      </c>
      <c r="G31" s="14">
        <f t="shared" si="1"/>
        <v>62.11111111</v>
      </c>
      <c r="H31" s="14">
        <f t="shared" si="2"/>
        <v>1.564334086</v>
      </c>
      <c r="I31" s="15">
        <v>1.329E10</v>
      </c>
      <c r="J31" s="22" t="s">
        <v>76</v>
      </c>
      <c r="K31" s="17">
        <v>1.5505E11</v>
      </c>
      <c r="L31" s="18">
        <v>4.43E11</v>
      </c>
      <c r="M31" s="4">
        <f t="shared" si="3"/>
        <v>20.378</v>
      </c>
      <c r="N31" s="19">
        <f t="shared" si="4"/>
        <v>23.42298851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9" t="s">
        <v>77</v>
      </c>
      <c r="B32" s="10">
        <v>115.0</v>
      </c>
      <c r="C32" s="27">
        <v>1.4544176E7</v>
      </c>
      <c r="D32" s="12">
        <v>0.00119</v>
      </c>
      <c r="E32" s="13">
        <v>2.2E-4</v>
      </c>
      <c r="F32" s="13">
        <v>0.00237</v>
      </c>
      <c r="G32" s="14">
        <f t="shared" si="1"/>
        <v>9.772727273</v>
      </c>
      <c r="H32" s="14">
        <f t="shared" si="2"/>
        <v>0.9915966387</v>
      </c>
      <c r="I32" s="15">
        <v>3.57E9</v>
      </c>
      <c r="J32" s="22" t="s">
        <v>78</v>
      </c>
      <c r="K32" s="17">
        <v>4.998E10</v>
      </c>
      <c r="L32" s="18">
        <v>1.19E11</v>
      </c>
      <c r="M32" s="4">
        <f t="shared" si="3"/>
        <v>3954.618444</v>
      </c>
      <c r="N32" s="19">
        <f t="shared" si="4"/>
        <v>34.38798647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9" t="s">
        <v>79</v>
      </c>
      <c r="B33" s="10">
        <v>4.59</v>
      </c>
      <c r="C33" s="27">
        <v>4.01E8</v>
      </c>
      <c r="D33" s="12">
        <v>5.4E-4</v>
      </c>
      <c r="E33" s="13">
        <v>6.0E-5</v>
      </c>
      <c r="F33" s="13">
        <v>8.3E-4</v>
      </c>
      <c r="G33" s="14">
        <f t="shared" si="1"/>
        <v>12.83333333</v>
      </c>
      <c r="H33" s="14">
        <f t="shared" si="2"/>
        <v>0.537037037</v>
      </c>
      <c r="I33" s="15">
        <v>1.62E9</v>
      </c>
      <c r="J33" s="22" t="s">
        <v>80</v>
      </c>
      <c r="K33" s="17">
        <v>2.268E10</v>
      </c>
      <c r="L33" s="18">
        <v>5.4E10</v>
      </c>
      <c r="M33" s="4">
        <f t="shared" si="3"/>
        <v>65.0872818</v>
      </c>
      <c r="N33" s="19">
        <f t="shared" si="4"/>
        <v>14.18023569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33" t="s">
        <v>81</v>
      </c>
      <c r="B34" s="10">
        <v>0.35</v>
      </c>
      <c r="C34" s="27">
        <v>1.55786342E9</v>
      </c>
      <c r="D34" s="12">
        <v>2.0E-4</v>
      </c>
      <c r="E34" s="34">
        <v>4.0E-5</v>
      </c>
      <c r="F34" s="13">
        <v>2.0E-4</v>
      </c>
      <c r="G34" s="14">
        <f t="shared" si="1"/>
        <v>4</v>
      </c>
      <c r="H34" s="14">
        <f t="shared" si="2"/>
        <v>0</v>
      </c>
      <c r="I34" s="15">
        <v>6.0E8</v>
      </c>
      <c r="J34" s="22" t="s">
        <v>82</v>
      </c>
      <c r="K34" s="17">
        <v>8.4E9</v>
      </c>
      <c r="L34" s="18">
        <v>2.0E10</v>
      </c>
      <c r="M34" s="4">
        <f t="shared" si="3"/>
        <v>6.20507969</v>
      </c>
      <c r="N34" s="19">
        <f t="shared" si="4"/>
        <v>17.72879911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9" t="s">
        <v>83</v>
      </c>
      <c r="B35" s="10">
        <v>74.65</v>
      </c>
      <c r="C35" s="27">
        <v>6.25E8</v>
      </c>
      <c r="D35" s="12">
        <v>0.00731</v>
      </c>
      <c r="E35" s="13">
        <v>3.0E-5</v>
      </c>
      <c r="F35" s="13">
        <v>0.02773</v>
      </c>
      <c r="G35" s="14">
        <f t="shared" si="1"/>
        <v>923.3333333</v>
      </c>
      <c r="H35" s="14">
        <f t="shared" si="2"/>
        <v>2.793433653</v>
      </c>
      <c r="I35" s="15">
        <v>2.193E10</v>
      </c>
      <c r="J35" s="22" t="s">
        <v>84</v>
      </c>
      <c r="K35" s="17">
        <v>2.0468E11</v>
      </c>
      <c r="L35" s="18">
        <v>7.31E11</v>
      </c>
      <c r="M35" s="4">
        <f t="shared" si="3"/>
        <v>510.7253333</v>
      </c>
      <c r="N35" s="19">
        <f t="shared" si="4"/>
        <v>6.841598571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9" t="s">
        <v>85</v>
      </c>
      <c r="B36" s="10">
        <v>1.03</v>
      </c>
      <c r="C36" s="27">
        <v>1.5E9</v>
      </c>
      <c r="D36" s="12">
        <v>8.7E-4</v>
      </c>
      <c r="E36" s="13">
        <v>1.4E-4</v>
      </c>
      <c r="F36" s="13">
        <v>0.0014</v>
      </c>
      <c r="G36" s="14">
        <f t="shared" si="1"/>
        <v>9</v>
      </c>
      <c r="H36" s="14">
        <f t="shared" si="2"/>
        <v>0.6091954023</v>
      </c>
      <c r="I36" s="15">
        <v>2.61E9</v>
      </c>
      <c r="J36" s="22" t="s">
        <v>86</v>
      </c>
      <c r="K36" s="17">
        <v>3.654E10</v>
      </c>
      <c r="L36" s="18">
        <v>9.57E10</v>
      </c>
      <c r="M36" s="4">
        <f t="shared" si="3"/>
        <v>29.96666667</v>
      </c>
      <c r="N36" s="19">
        <f t="shared" si="4"/>
        <v>29.09385113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9" t="s">
        <v>87</v>
      </c>
      <c r="B37" s="10">
        <v>0.12</v>
      </c>
      <c r="C37" s="27">
        <v>3.0E10</v>
      </c>
      <c r="D37" s="12">
        <v>0.00289</v>
      </c>
      <c r="E37" s="13">
        <v>0.00459</v>
      </c>
      <c r="F37" s="13">
        <v>0.00334</v>
      </c>
      <c r="G37" s="30">
        <f t="shared" si="1"/>
        <v>-0.2723311547</v>
      </c>
      <c r="H37" s="14">
        <f t="shared" si="2"/>
        <v>0.1557093426</v>
      </c>
      <c r="I37" s="15">
        <v>8.67E9</v>
      </c>
      <c r="J37" s="22" t="s">
        <v>88</v>
      </c>
      <c r="K37" s="17">
        <v>1.2138E11</v>
      </c>
      <c r="L37" s="18">
        <v>2.89E11</v>
      </c>
      <c r="M37" s="4">
        <f t="shared" si="3"/>
        <v>4.656111111</v>
      </c>
      <c r="N37" s="19">
        <f t="shared" si="4"/>
        <v>38.80092593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9" t="s">
        <v>89</v>
      </c>
      <c r="B38" s="10">
        <v>0.52</v>
      </c>
      <c r="C38" s="27">
        <v>3.0E9</v>
      </c>
      <c r="D38" s="12">
        <v>6.4E-4</v>
      </c>
      <c r="E38" s="28">
        <v>9.6E-5</v>
      </c>
      <c r="F38" s="13">
        <v>0.00266</v>
      </c>
      <c r="G38" s="14">
        <f t="shared" si="1"/>
        <v>26.70833333</v>
      </c>
      <c r="H38" s="14">
        <f t="shared" si="2"/>
        <v>3.15625</v>
      </c>
      <c r="I38" s="15">
        <v>1.92E9</v>
      </c>
      <c r="J38" s="22" t="s">
        <v>90</v>
      </c>
      <c r="K38" s="17">
        <v>3.15E10</v>
      </c>
      <c r="L38" s="18">
        <v>7.68E10</v>
      </c>
      <c r="M38" s="4">
        <f t="shared" si="3"/>
        <v>12.24666667</v>
      </c>
      <c r="N38" s="19">
        <f t="shared" si="4"/>
        <v>23.55128205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9" t="s">
        <v>91</v>
      </c>
      <c r="B39" s="10">
        <v>5.87</v>
      </c>
      <c r="C39" s="27">
        <v>4.0E8</v>
      </c>
      <c r="D39" s="12">
        <v>0.00105</v>
      </c>
      <c r="E39" s="29">
        <v>5.9E-5</v>
      </c>
      <c r="F39" s="13">
        <v>0.0022</v>
      </c>
      <c r="G39" s="14">
        <f t="shared" si="1"/>
        <v>36.28813559</v>
      </c>
      <c r="H39" s="14">
        <f t="shared" si="2"/>
        <v>1.095238095</v>
      </c>
      <c r="I39" s="15">
        <v>3.15E9</v>
      </c>
      <c r="J39" s="22" t="s">
        <v>92</v>
      </c>
      <c r="K39" s="17">
        <v>4.41E10</v>
      </c>
      <c r="L39" s="18">
        <v>1.155E11</v>
      </c>
      <c r="M39" s="4">
        <f t="shared" si="3"/>
        <v>135.625</v>
      </c>
      <c r="N39" s="19">
        <f t="shared" si="4"/>
        <v>23.10477002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9" t="s">
        <v>93</v>
      </c>
      <c r="B40" s="10">
        <v>0.029</v>
      </c>
      <c r="C40" s="27">
        <v>8.6712634466E10</v>
      </c>
      <c r="D40" s="12">
        <v>0.00113</v>
      </c>
      <c r="E40" s="13">
        <v>0.00128</v>
      </c>
      <c r="F40" s="13">
        <v>0.0066</v>
      </c>
      <c r="G40" s="14">
        <f t="shared" si="1"/>
        <v>4.15625</v>
      </c>
      <c r="H40" s="14">
        <f t="shared" si="2"/>
        <v>4.840707965</v>
      </c>
      <c r="I40" s="15">
        <v>3.39E9</v>
      </c>
      <c r="J40" s="22" t="s">
        <v>94</v>
      </c>
      <c r="K40" s="17">
        <v>3.164E10</v>
      </c>
      <c r="L40" s="18">
        <v>1.13E11</v>
      </c>
      <c r="M40" s="4">
        <f t="shared" si="3"/>
        <v>0.569044334</v>
      </c>
      <c r="N40" s="19">
        <f t="shared" si="4"/>
        <v>19.62221842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9" t="s">
        <v>95</v>
      </c>
      <c r="B41" s="10">
        <v>0.048</v>
      </c>
      <c r="C41" s="27">
        <v>1.51E10</v>
      </c>
      <c r="D41" s="12">
        <v>6.4E-4</v>
      </c>
      <c r="E41" s="13">
        <v>1.4E-4</v>
      </c>
      <c r="F41" s="13">
        <v>0.001</v>
      </c>
      <c r="G41" s="14">
        <f t="shared" si="1"/>
        <v>6.142857143</v>
      </c>
      <c r="H41" s="14">
        <f t="shared" si="2"/>
        <v>0.5625</v>
      </c>
      <c r="I41" s="15">
        <v>1.92E9</v>
      </c>
      <c r="J41" s="22" t="s">
        <v>96</v>
      </c>
      <c r="K41" s="17">
        <v>2.688E10</v>
      </c>
      <c r="L41" s="18">
        <v>6.4E10</v>
      </c>
      <c r="M41" s="4">
        <f t="shared" si="3"/>
        <v>2.048565121</v>
      </c>
      <c r="N41" s="19">
        <f t="shared" si="4"/>
        <v>42.67844003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9" t="s">
        <v>97</v>
      </c>
      <c r="B42" s="10">
        <v>0.63</v>
      </c>
      <c r="C42" s="27">
        <v>6.1E10</v>
      </c>
      <c r="D42" s="12">
        <v>0.02496</v>
      </c>
      <c r="E42" s="13">
        <v>0.02845</v>
      </c>
      <c r="F42" s="13">
        <v>0.02674</v>
      </c>
      <c r="G42" s="30">
        <f t="shared" si="1"/>
        <v>-0.06010544815</v>
      </c>
      <c r="H42" s="14">
        <f t="shared" si="2"/>
        <v>0.07131410256</v>
      </c>
      <c r="I42" s="15">
        <v>7.488E10</v>
      </c>
      <c r="J42" s="35" t="s">
        <v>98</v>
      </c>
      <c r="K42" s="17">
        <v>5.2416E11</v>
      </c>
      <c r="L42" s="18">
        <v>1.248E12</v>
      </c>
      <c r="M42" s="4">
        <f t="shared" si="3"/>
        <v>10.09311475</v>
      </c>
      <c r="N42" s="19">
        <f t="shared" si="4"/>
        <v>16.02081707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C43" s="36"/>
      <c r="D43" s="3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37"/>
      <c r="F44" s="38" t="s">
        <v>99</v>
      </c>
      <c r="G44" s="39"/>
      <c r="H44" s="39"/>
      <c r="I44" s="39"/>
      <c r="J44" s="39"/>
      <c r="K44" s="40"/>
      <c r="L44" s="38" t="s">
        <v>100</v>
      </c>
      <c r="M44" s="39"/>
      <c r="N44" s="4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37"/>
      <c r="F45" s="41"/>
      <c r="K45" s="42"/>
      <c r="L45" s="41"/>
      <c r="N45" s="4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F46" s="41"/>
      <c r="K46" s="42"/>
      <c r="L46" s="43"/>
      <c r="M46" s="44"/>
      <c r="N46" s="4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F47" s="41"/>
      <c r="K47" s="4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F48" s="41"/>
      <c r="K48" s="4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F49" s="41"/>
      <c r="K49" s="4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F50" s="41"/>
      <c r="K50" s="4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F51" s="41"/>
      <c r="K51" s="4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F52" s="41"/>
      <c r="K52" s="4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F53" s="41"/>
      <c r="K53" s="4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F54" s="41"/>
      <c r="K54" s="4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F55" s="41"/>
      <c r="K55" s="4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F56" s="41"/>
      <c r="K56" s="4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F57" s="41"/>
      <c r="K57" s="4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F58" s="41"/>
      <c r="K58" s="4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F59" s="41"/>
      <c r="K59" s="4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F60" s="41"/>
      <c r="K60" s="4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F61" s="43"/>
      <c r="G61" s="44"/>
      <c r="H61" s="44"/>
      <c r="I61" s="44"/>
      <c r="J61" s="44"/>
      <c r="K61" s="4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I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F63" s="2"/>
      <c r="G63" s="2"/>
      <c r="H63" s="2"/>
      <c r="I63" s="2"/>
      <c r="J63" s="2"/>
      <c r="K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F64" s="2"/>
      <c r="K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K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</sheetData>
  <mergeCells count="2">
    <mergeCell ref="F44:K61"/>
    <mergeCell ref="L44:N46"/>
  </mergeCells>
  <drawing r:id="rId1"/>
</worksheet>
</file>